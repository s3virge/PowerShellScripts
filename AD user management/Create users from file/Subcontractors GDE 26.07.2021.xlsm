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13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intetics-my.sharepoint.com/personal/v_kobzar_intetics_com/Documents/PowerShell/AD user management/Create users from file/"/>
    </mc:Choice>
  </mc:AlternateContent>
  <xr:revisionPtr revIDLastSave="259" documentId="8_{6041868C-970D-4736-86CA-03AD8D0FF9ED}" xr6:coauthVersionLast="47" xr6:coauthVersionMax="47" xr10:uidLastSave="{32D1EFE8-76DF-424A-8663-602CC7A373EE}"/>
  <bookViews>
    <workbookView xWindow="-120" yWindow="-120" windowWidth="29040" windowHeight="15840" tabRatio="438" xr2:uid="{200E465A-1363-4F1A-A73E-9FA6F536047B}"/>
  </bookViews>
  <sheets>
    <sheet name="Sheet1" sheetId="1" r:id="rId1"/>
    <sheet name="Settings" sheetId="2" r:id="rId2"/>
  </sheets>
  <definedNames>
    <definedName name="_xlnm._FilterDatabase" localSheetId="0" hidden="1">Sheet1!$A$1:$G$38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2" i="1" l="1"/>
  <c r="C3" i="1"/>
  <c r="C4" i="1"/>
  <c r="C5" i="1"/>
  <c r="C6" i="1"/>
  <c r="C7" i="1"/>
  <c r="C8" i="1"/>
  <c r="C9" i="1"/>
  <c r="C10" i="1"/>
  <c r="C11" i="1"/>
  <c r="C12" i="1"/>
  <c r="C13" i="1"/>
  <c r="C14" i="1"/>
  <c r="C15" i="1"/>
  <c r="C16" i="1"/>
  <c r="C17" i="1"/>
  <c r="C18" i="1"/>
  <c r="C19" i="1"/>
  <c r="C20" i="1"/>
  <c r="C21" i="1"/>
  <c r="C22" i="1"/>
  <c r="C23" i="1"/>
  <c r="C24" i="1"/>
  <c r="C25" i="1"/>
  <c r="C26" i="1"/>
  <c r="C27" i="1"/>
  <c r="C28" i="1"/>
  <c r="C29" i="1"/>
  <c r="C30" i="1"/>
  <c r="C31" i="1"/>
  <c r="C32" i="1"/>
  <c r="C33" i="1"/>
  <c r="C34" i="1"/>
  <c r="C35" i="1"/>
  <c r="C36" i="1"/>
  <c r="C37" i="1"/>
  <c r="C38" i="1"/>
  <c r="A1" i="2" l="1"/>
</calcChain>
</file>

<file path=xl/sharedStrings.xml><?xml version="1.0" encoding="utf-8"?>
<sst xmlns="http://schemas.openxmlformats.org/spreadsheetml/2006/main" count="346" uniqueCount="124">
  <si>
    <t>Должность</t>
  </si>
  <si>
    <t>EM</t>
  </si>
  <si>
    <t>PM</t>
  </si>
  <si>
    <t>Anastasiia</t>
  </si>
  <si>
    <t>Bilyzna</t>
  </si>
  <si>
    <t>Junior Geodata Technician</t>
  </si>
  <si>
    <t xml:space="preserve">Natalia Chernonog  </t>
  </si>
  <si>
    <t xml:space="preserve">Marina Balinskaya </t>
  </si>
  <si>
    <t>Palii</t>
  </si>
  <si>
    <t>Oleksandra</t>
  </si>
  <si>
    <t>Miroslav</t>
  </si>
  <si>
    <t>Matiushenko</t>
  </si>
  <si>
    <t>Yaroslav</t>
  </si>
  <si>
    <t>Nazarenko</t>
  </si>
  <si>
    <t>Konstantin</t>
  </si>
  <si>
    <t>Kurman</t>
  </si>
  <si>
    <t>Andrii</t>
  </si>
  <si>
    <t>Gylevskiy</t>
  </si>
  <si>
    <t>Veronika</t>
  </si>
  <si>
    <t>Brychnik</t>
  </si>
  <si>
    <t>Bohdan</t>
  </si>
  <si>
    <t>Blindaruk</t>
  </si>
  <si>
    <t>Oleksandr</t>
  </si>
  <si>
    <t>Kovalenko</t>
  </si>
  <si>
    <t>Tatiana</t>
  </si>
  <si>
    <t>Shevchenko</t>
  </si>
  <si>
    <t>Sergey</t>
  </si>
  <si>
    <t>Rezunenko</t>
  </si>
  <si>
    <t>Ihor</t>
  </si>
  <si>
    <t>Polotebnov</t>
  </si>
  <si>
    <t>Alexey</t>
  </si>
  <si>
    <t>Glotov</t>
  </si>
  <si>
    <t>Yulia</t>
  </si>
  <si>
    <t>Soloviova</t>
  </si>
  <si>
    <t>Viktoriia</t>
  </si>
  <si>
    <t>Bondar</t>
  </si>
  <si>
    <t>Maryna</t>
  </si>
  <si>
    <t>Zhukovska</t>
  </si>
  <si>
    <t>Illia</t>
  </si>
  <si>
    <t>Hodyna</t>
  </si>
  <si>
    <t>Andrei</t>
  </si>
  <si>
    <t>Ksenofontov</t>
  </si>
  <si>
    <t>Iryna</t>
  </si>
  <si>
    <t>Menshykova</t>
  </si>
  <si>
    <t>Mytiuk</t>
  </si>
  <si>
    <t>Volodymyr</t>
  </si>
  <si>
    <t>Tretiak</t>
  </si>
  <si>
    <t>Aleksey</t>
  </si>
  <si>
    <t>Goroshkov</t>
  </si>
  <si>
    <t>Ainyr</t>
  </si>
  <si>
    <t>Miftahov</t>
  </si>
  <si>
    <t>Yelyzaveta</t>
  </si>
  <si>
    <t>Borovok</t>
  </si>
  <si>
    <t>Dagli</t>
  </si>
  <si>
    <t>Yasiunas</t>
  </si>
  <si>
    <t>Lizaveta</t>
  </si>
  <si>
    <t>Ahielos</t>
  </si>
  <si>
    <t>Lyba</t>
  </si>
  <si>
    <t>Liliya</t>
  </si>
  <si>
    <t>Vinnik</t>
  </si>
  <si>
    <t>Ninа</t>
  </si>
  <si>
    <t>Zhuravel</t>
  </si>
  <si>
    <t>Vladislav</t>
  </si>
  <si>
    <t>Kondratenko</t>
  </si>
  <si>
    <t>Kateryna</t>
  </si>
  <si>
    <t>Epishina</t>
  </si>
  <si>
    <t>Yuliia</t>
  </si>
  <si>
    <t>Sokol</t>
  </si>
  <si>
    <t>Viktor</t>
  </si>
  <si>
    <t>Parkhomenko</t>
  </si>
  <si>
    <t>Andrey</t>
  </si>
  <si>
    <t>Bezbabnov</t>
  </si>
  <si>
    <t>Olena</t>
  </si>
  <si>
    <t>Osokina</t>
  </si>
  <si>
    <t>Obukhovskyi</t>
  </si>
  <si>
    <t>Kim</t>
  </si>
  <si>
    <t>û</t>
  </si>
  <si>
    <t>ь</t>
  </si>
  <si>
    <t>Done</t>
  </si>
  <si>
    <t>Executor</t>
  </si>
  <si>
    <t>ААА</t>
  </si>
  <si>
    <t>VVK</t>
  </si>
  <si>
    <t>License</t>
  </si>
  <si>
    <t>SamAccountName</t>
  </si>
  <si>
    <t>FirstName</t>
  </si>
  <si>
    <t>LastName</t>
  </si>
  <si>
    <t>Password</t>
  </si>
  <si>
    <t>Gonu$Ici44</t>
  </si>
  <si>
    <t>Pese-Itu10</t>
  </si>
  <si>
    <t>Hali!Avo85</t>
  </si>
  <si>
    <t>Fevi;Aho20</t>
  </si>
  <si>
    <t>Naru=Iqa63</t>
  </si>
  <si>
    <t>Wobo.Owe38</t>
  </si>
  <si>
    <t>Dume!Asu62</t>
  </si>
  <si>
    <t>Vufe-Uwu29</t>
  </si>
  <si>
    <t>Quga+Agi39</t>
  </si>
  <si>
    <t>Fusu=Ara35</t>
  </si>
  <si>
    <t>Keyi[Awe45</t>
  </si>
  <si>
    <t>Mufa.Obu87</t>
  </si>
  <si>
    <t>Leva.Eca89</t>
  </si>
  <si>
    <t>Joto?Iki22</t>
  </si>
  <si>
    <t>Hasi{Aze73</t>
  </si>
  <si>
    <t>Fevi;Ava57</t>
  </si>
  <si>
    <t>Jewo;Eqa97</t>
  </si>
  <si>
    <t>Wara[Etu42</t>
  </si>
  <si>
    <t>Lore)Usa98</t>
  </si>
  <si>
    <t>Nera#Ego43</t>
  </si>
  <si>
    <t>Jaji=Ebo91</t>
  </si>
  <si>
    <t>Zola[Aho20</t>
  </si>
  <si>
    <t>Ziju|Ina34</t>
  </si>
  <si>
    <t>Wasa#Uhe55</t>
  </si>
  <si>
    <t>Jade&gt;Ihe19</t>
  </si>
  <si>
    <t>Dufo!Ano11</t>
  </si>
  <si>
    <t>Sipu!Iba60</t>
  </si>
  <si>
    <t>Zego-Aho75</t>
  </si>
  <si>
    <t>Ziha)Agu30</t>
  </si>
  <si>
    <t>Mibo$Eci73</t>
  </si>
  <si>
    <t>Yoho=Ohi19</t>
  </si>
  <si>
    <t>Dimo]Ohi36</t>
  </si>
  <si>
    <t>Qavu!Eko96</t>
  </si>
  <si>
    <t>Tuyu;Ahu62</t>
  </si>
  <si>
    <t>Pubi?Ame35</t>
  </si>
  <si>
    <t>Tati@Iqa15</t>
  </si>
  <si>
    <t>Huxi.Uno99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</si>
</sst>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Calibri"/>
      <family val="2"/>
      <charset val="204"/>
      <scheme val="minor"/>
    </font>
    <font>
      <sz val="14"/>
      <color rgb="FF000000"/>
      <name val="Calibri"/>
      <family val="2"/>
      <charset val="204"/>
    </font>
    <font>
      <sz val="14"/>
      <color theme="1"/>
      <name val="Calibri"/>
      <family val="2"/>
      <charset val="204"/>
      <scheme val="minor"/>
    </font>
    <font>
      <sz val="22"/>
      <color theme="9" tint="-0.249977111117893"/>
      <name val="Wingdings"/>
      <charset val="2"/>
    </font>
    <font>
      <sz val="22"/>
      <color rgb="FFFF0000"/>
      <name val="Wingdings"/>
      <charset val="2"/>
    </font>
    <font>
      <sz val="11"/>
      <color theme="1"/>
      <name val="Wingdings"/>
      <charset val="2"/>
    </font>
    <font>
      <sz val="22"/>
      <color theme="1"/>
      <name val="Wingdings"/>
      <charset val="2"/>
    </font>
    <font>
      <b/>
      <sz val="16"/>
      <color rgb="FF000000"/>
      <name val="Calibri"/>
      <family val="2"/>
      <charset val="204"/>
    </font>
    <font>
      <b/>
      <sz val="16"/>
      <color theme="1"/>
      <name val="Calibri"/>
      <family val="2"/>
      <charset val="204"/>
      <scheme val="minor"/>
    </font>
    <font>
      <sz val="14"/>
      <name val="Calibri"/>
      <family val="2"/>
      <charset val="204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theme="4" tint="0.79998168889431442"/>
        <bgColor indexed="64"/>
      </patternFill>
    </fill>
  </fills>
  <borders count="8">
    <border>
      <left/>
      <right/>
      <top/>
      <bottom/>
      <diagonal/>
    </border>
    <border>
      <left/>
      <right style="thin">
        <color theme="2" tint="-0.249977111117893"/>
      </right>
      <top/>
      <bottom/>
      <diagonal/>
    </border>
    <border>
      <left style="thin">
        <color theme="2" tint="-0.249977111117893"/>
      </left>
      <right style="thin">
        <color theme="2" tint="-0.249977111117893"/>
      </right>
      <top/>
      <bottom/>
      <diagonal/>
    </border>
    <border>
      <left/>
      <right style="thin">
        <color theme="2" tint="-0.249977111117893"/>
      </right>
      <top/>
      <bottom style="thin">
        <color theme="2" tint="-0.249977111117893"/>
      </bottom>
      <diagonal/>
    </border>
    <border>
      <left style="thin">
        <color theme="2" tint="-0.249977111117893"/>
      </left>
      <right style="thin">
        <color theme="2" tint="-0.249977111117893"/>
      </right>
      <top/>
      <bottom style="thin">
        <color theme="2" tint="-0.249977111117893"/>
      </bottom>
      <diagonal/>
    </border>
    <border>
      <left/>
      <right/>
      <top/>
      <bottom style="thin">
        <color theme="2" tint="-0.249977111117893"/>
      </bottom>
      <diagonal/>
    </border>
    <border>
      <left style="thin">
        <color theme="2" tint="-0.249977111117893"/>
      </left>
      <right/>
      <top/>
      <bottom style="thin">
        <color theme="2" tint="-0.249977111117893"/>
      </bottom>
      <diagonal/>
    </border>
    <border>
      <left style="thin">
        <color theme="2" tint="-0.249977111117893"/>
      </left>
      <right/>
      <top/>
      <bottom/>
      <diagonal/>
    </border>
  </borders>
  <cellStyleXfs count="1">
    <xf numFmtId="0" fontId="0" fillId="0" borderId="0"/>
  </cellStyleXfs>
  <cellXfs count="21">
    <xf numFmtId="0" fontId="0" fillId="0" borderId="0" xfId="0"/>
    <xf numFmtId="0" fontId="0" fillId="0" borderId="0" xfId="0" applyBorder="1"/>
    <xf numFmtId="0" fontId="1" fillId="2" borderId="1" xfId="0" applyFont="1" applyFill="1" applyBorder="1" applyAlignment="1">
      <alignment vertical="center"/>
    </xf>
    <xf numFmtId="0" fontId="2" fillId="0" borderId="1" xfId="0" applyFont="1" applyBorder="1"/>
    <xf numFmtId="0" fontId="0" fillId="0" borderId="1" xfId="0" applyBorder="1"/>
    <xf numFmtId="0" fontId="1" fillId="2" borderId="2" xfId="0" applyFont="1" applyFill="1" applyBorder="1" applyAlignment="1">
      <alignment vertical="center"/>
    </xf>
    <xf numFmtId="0" fontId="2" fillId="0" borderId="2" xfId="0" applyFont="1" applyBorder="1"/>
    <xf numFmtId="0" fontId="0" fillId="0" borderId="2" xfId="0" applyBorder="1"/>
    <xf numFmtId="0" fontId="1" fillId="0" borderId="2" xfId="0" applyFont="1" applyBorder="1" applyAlignment="1">
      <alignment vertical="center"/>
    </xf>
    <xf numFmtId="0" fontId="3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7" fillId="3" borderId="3" xfId="0" applyFont="1" applyFill="1" applyBorder="1" applyAlignment="1">
      <alignment horizontal="center" vertical="center"/>
    </xf>
    <xf numFmtId="0" fontId="7" fillId="3" borderId="4" xfId="0" applyFont="1" applyFill="1" applyBorder="1" applyAlignment="1">
      <alignment horizontal="center" vertical="center"/>
    </xf>
    <xf numFmtId="0" fontId="0" fillId="0" borderId="2" xfId="0" applyBorder="1" applyAlignment="1">
      <alignment horizontal="center"/>
    </xf>
    <xf numFmtId="0" fontId="6" fillId="0" borderId="2" xfId="0" applyFont="1" applyBorder="1" applyAlignment="1">
      <alignment horizontal="center"/>
    </xf>
    <xf numFmtId="0" fontId="5" fillId="0" borderId="0" xfId="0" applyFont="1"/>
    <xf numFmtId="0" fontId="8" fillId="3" borderId="4" xfId="0" applyFont="1" applyFill="1" applyBorder="1" applyAlignment="1">
      <alignment horizontal="center" vertical="center"/>
    </xf>
    <xf numFmtId="0" fontId="8" fillId="3" borderId="5" xfId="0" applyFont="1" applyFill="1" applyBorder="1" applyAlignment="1">
      <alignment horizontal="center" vertical="center"/>
    </xf>
    <xf numFmtId="0" fontId="8" fillId="3" borderId="6" xfId="0" applyFont="1" applyFill="1" applyBorder="1" applyAlignment="1">
      <alignment horizontal="center" vertical="center"/>
    </xf>
    <xf numFmtId="0" fontId="6" fillId="0" borderId="7" xfId="0" applyFont="1" applyBorder="1" applyAlignment="1">
      <alignment horizontal="center"/>
    </xf>
    <xf numFmtId="0" fontId="9" fillId="0" borderId="0" xfId="0" applyFont="1"/>
  </cellXfs>
  <cellStyles count="1">
    <cellStyle name="Normal" xfId="0" builtinId="0"/>
  </cellStyles>
  <dxfs count="20">
    <dxf>
      <font>
        <b val="0"/>
        <i val="0"/>
        <strike val="0"/>
        <condense val="0"/>
        <extend val="0"/>
        <outline val="0"/>
        <shadow val="0"/>
        <u val="none"/>
        <vertAlign val="baseline"/>
        <sz val="22"/>
        <color theme="1"/>
        <name val="Wingdings"/>
        <charset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theme="2" tint="-0.249977111117893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2"/>
        <color theme="1"/>
        <name val="Wingdings"/>
        <charset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theme="2" tint="-0.249977111117893"/>
        </left>
        <right style="thin">
          <color theme="2" tint="-0.249977111117893"/>
        </right>
        <top/>
        <bottom/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theme="2" tint="-0.249977111117893"/>
        </left>
        <right style="thin">
          <color theme="2" tint="-0.249977111117893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0000"/>
        <name val="Calibri"/>
        <family val="2"/>
        <charset val="204"/>
        <scheme val="none"/>
      </font>
      <alignment horizontal="general" vertical="center" textRotation="0" wrapText="0" indent="0" justifyLastLine="0" shrinkToFit="0" readingOrder="0"/>
      <border diagonalUp="0" diagonalDown="0">
        <left style="thin">
          <color theme="2" tint="-0.249977111117893"/>
        </left>
        <right style="thin">
          <color theme="2" tint="-0.249977111117893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0000"/>
        <name val="Calibri"/>
        <family val="2"/>
        <charset val="204"/>
        <scheme val="none"/>
      </font>
      <alignment horizontal="general" vertical="center" textRotation="0" wrapText="0" indent="0" justifyLastLine="0" shrinkToFit="0" readingOrder="0"/>
      <border diagonalUp="0" diagonalDown="0">
        <left style="thin">
          <color theme="2" tint="-0.249977111117893"/>
        </left>
        <right style="thin">
          <color theme="2" tint="-0.249977111117893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0000"/>
        <name val="Calibri"/>
        <family val="2"/>
        <charset val="204"/>
        <scheme val="none"/>
      </font>
      <alignment horizontal="general" vertical="center" textRotation="0" wrapText="0" indent="0" justifyLastLine="0" shrinkToFit="0" readingOrder="0"/>
      <border diagonalUp="0" diagonalDown="0" outline="0">
        <left/>
        <right style="thin">
          <color theme="2" tint="-0.249977111117893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alignment horizontal="general" vertical="center" textRotation="0" wrapText="0" indent="0" justifyLastLine="0" shrinkToFit="0" readingOrder="0"/>
      <border diagonalUp="0" diagonalDown="0">
        <left style="thin">
          <color theme="2" tint="-0.249977111117893"/>
        </left>
        <right style="thin">
          <color theme="2" tint="-0.249977111117893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0000"/>
        <name val="Calibri"/>
        <family val="2"/>
        <charset val="204"/>
        <scheme val="none"/>
      </font>
      <numFmt numFmtId="0" formatCode="General"/>
      <alignment horizontal="general" vertical="center" textRotation="0" wrapText="0" indent="0" justifyLastLine="0" shrinkToFit="0" readingOrder="0"/>
      <border diagonalUp="0" diagonalDown="0" outline="0">
        <left style="thin">
          <color theme="2" tint="-0.249977111117893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0000"/>
        <name val="Calibri"/>
        <family val="2"/>
        <charset val="204"/>
        <scheme val="none"/>
      </font>
      <fill>
        <patternFill patternType="solid">
          <fgColor indexed="64"/>
          <bgColor rgb="FFFFFFFF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theme="2" tint="-0.249977111117893"/>
        </left>
        <right style="thin">
          <color theme="2" tint="-0.249977111117893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0000"/>
        <name val="Calibri"/>
        <family val="2"/>
        <charset val="204"/>
        <scheme val="none"/>
      </font>
      <fill>
        <patternFill patternType="solid">
          <fgColor indexed="64"/>
          <bgColor rgb="FFFFFFFF"/>
        </patternFill>
      </fill>
      <alignment horizontal="general" vertical="center" textRotation="0" wrapText="0" indent="0" justifyLastLine="0" shrinkToFit="0" readingOrder="0"/>
      <border diagonalUp="0" diagonalDown="0">
        <left/>
        <right style="thin">
          <color theme="2" tint="-0.249977111117893"/>
        </right>
        <top/>
        <bottom/>
        <vertical/>
        <horizontal/>
      </border>
    </dxf>
    <dxf>
      <border outline="0">
        <right style="thin">
          <color theme="2" tint="-0.249977111117893"/>
        </right>
      </border>
    </dxf>
    <dxf>
      <border outline="0">
        <bottom style="thin">
          <color theme="2" tint="-0.249977111117893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charset val="204"/>
        <scheme val="minor"/>
      </font>
      <fill>
        <patternFill patternType="solid">
          <fgColor indexed="64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249977111117893"/>
        </left>
        <right style="thin">
          <color theme="2" tint="-0.249977111117893"/>
        </right>
        <top/>
        <bottom/>
      </border>
    </dxf>
    <dxf>
      <font>
        <color theme="9" tint="-0.24994659260841701"/>
      </font>
    </dxf>
    <dxf>
      <font>
        <color rgb="FFC00000"/>
      </font>
    </dxf>
    <dxf>
      <font>
        <color theme="9" tint="-0.24994659260841701"/>
      </font>
    </dxf>
    <dxf>
      <font>
        <color rgb="FFC00000"/>
      </font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4D49580-1AF5-454F-8E70-498261B9A15C}" name="Table3" displayName="Table3" ref="A1:J38" totalsRowShown="0" headerRowDxfId="12" headerRowBorderDxfId="11" tableBorderDxfId="10">
  <autoFilter ref="A1:J38" xr:uid="{E4D49580-1AF5-454F-8E70-498261B9A15C}"/>
  <tableColumns count="10">
    <tableColumn id="1" xr3:uid="{BBBD0AF4-9F0D-4134-BF4E-D1FDC9003A6A}" name="FirstName" dataDxfId="9"/>
    <tableColumn id="2" xr3:uid="{4199DB7D-A3A9-46E4-BEE4-7AE881536C71}" name="LastName" dataDxfId="8"/>
    <tableColumn id="3" xr3:uid="{05A7C7D2-24FF-4F5D-B0DB-FF2FF9259990}" name="SamAccountName" dataDxfId="7">
      <calculatedColumnFormula>LOWER(LEFT(Table3[[#This Row],[FirstName]],1) &amp;"." &amp;Table3[[#This Row],[LastName]])</calculatedColumnFormula>
    </tableColumn>
    <tableColumn id="10" xr3:uid="{466B2839-DAE5-4B21-B9C3-A83662FA0619}" name="Password" dataDxfId="6"/>
    <tableColumn id="4" xr3:uid="{D46E1801-B1F3-43C2-A68E-3E596EE3EFE5}" name="Должность" dataDxfId="5"/>
    <tableColumn id="5" xr3:uid="{291F2715-78BE-486D-9CDA-83687515CBD1}" name="EM" dataDxfId="4"/>
    <tableColumn id="6" xr3:uid="{3DC43809-6DCB-4322-8E8A-3AFD1B77DA0E}" name="PM" dataDxfId="3"/>
    <tableColumn id="7" xr3:uid="{70C42AC9-5CED-4F74-8658-F6B12E6D8525}" name="Executor" dataDxfId="2"/>
    <tableColumn id="8" xr3:uid="{544D31A3-F658-45CA-B8B8-D7B8CE074EE8}" name="License" dataDxfId="1"/>
    <tableColumn id="9" xr3:uid="{5B7F81DE-CDE8-4531-AC84-6ED19D7D7F4C}" name="Done" dataDxfId="0"/>
  </tableColumns>
  <tableStyleInfo name="TableStyleLight2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71DF33-5147-408F-86FB-86F7F89A7ACF}">
  <sheetPr codeName="Sheet1"/>
  <dimension ref="A1:J38"/>
  <sheetViews>
    <sheetView showGridLines="0" tabSelected="1" workbookViewId="0">
      <pane ySplit="1" topLeftCell="A2" activePane="bottomLeft" state="frozen"/>
      <selection pane="bottomLeft" activeCell="J25" sqref="J25"/>
    </sheetView>
  </sheetViews>
  <sheetFormatPr defaultRowHeight="27" x14ac:dyDescent="0.35"/>
  <cols>
    <col min="1" max="1" width="18.42578125" style="4" customWidth="1"/>
    <col min="2" max="2" width="21.140625" style="7" customWidth="1"/>
    <col min="3" max="3" width="31.140625" style="7" customWidth="1"/>
    <col min="4" max="5" width="37.5703125" style="7" customWidth="1"/>
    <col min="6" max="6" width="37.85546875" style="7" customWidth="1"/>
    <col min="7" max="7" width="32.5703125" style="7" customWidth="1"/>
    <col min="8" max="8" width="14" style="13" customWidth="1"/>
    <col min="9" max="9" width="15.85546875" style="14" customWidth="1"/>
    <col min="10" max="10" width="9.7109375" style="14" customWidth="1"/>
    <col min="11" max="16384" width="9.140625" style="1"/>
  </cols>
  <sheetData>
    <row r="1" spans="1:10" s="17" customFormat="1" ht="27.75" customHeight="1" x14ac:dyDescent="0.25">
      <c r="A1" s="11" t="s">
        <v>84</v>
      </c>
      <c r="B1" s="12" t="s">
        <v>85</v>
      </c>
      <c r="C1" s="12" t="s">
        <v>83</v>
      </c>
      <c r="D1" s="12" t="s">
        <v>86</v>
      </c>
      <c r="E1" s="12" t="s">
        <v>0</v>
      </c>
      <c r="F1" s="12" t="s">
        <v>1</v>
      </c>
      <c r="G1" s="12" t="s">
        <v>2</v>
      </c>
      <c r="H1" s="16" t="s">
        <v>79</v>
      </c>
      <c r="I1" s="16" t="s">
        <v>82</v>
      </c>
      <c r="J1" s="18" t="s">
        <v>78</v>
      </c>
    </row>
    <row r="2" spans="1:10" ht="24.75" customHeight="1" x14ac:dyDescent="0.35">
      <c r="A2" s="2" t="s">
        <v>56</v>
      </c>
      <c r="B2" s="5" t="s">
        <v>57</v>
      </c>
      <c r="C2" s="8" t="str">
        <f>LOWER(LEFT(Table3[[#This Row],[FirstName]],1) &amp;"." &amp;Table3[[#This Row],[LastName]])</f>
        <v>a.lyba</v>
      </c>
      <c r="D2" s="20" t="s">
        <v>87</v>
      </c>
      <c r="E2" s="8" t="s">
        <v>5</v>
      </c>
      <c r="F2" s="8" t="s">
        <v>6</v>
      </c>
      <c r="G2" s="8" t="s">
        <v>7</v>
      </c>
      <c r="H2" s="13" t="s">
        <v>80</v>
      </c>
      <c r="I2" s="14" t="s">
        <v>77</v>
      </c>
      <c r="J2" s="19" t="s">
        <v>77</v>
      </c>
    </row>
    <row r="3" spans="1:10" ht="24.75" customHeight="1" x14ac:dyDescent="0.35">
      <c r="A3" s="3" t="s">
        <v>49</v>
      </c>
      <c r="B3" s="6" t="s">
        <v>50</v>
      </c>
      <c r="C3" s="8" t="str">
        <f>LOWER(LEFT(Table3[[#This Row],[FirstName]],1) &amp;"." &amp;Table3[[#This Row],[LastName]])</f>
        <v>a.miftahov</v>
      </c>
      <c r="D3" s="20" t="s">
        <v>88</v>
      </c>
      <c r="E3" s="8" t="s">
        <v>5</v>
      </c>
      <c r="F3" s="8" t="s">
        <v>6</v>
      </c>
      <c r="G3" s="8" t="s">
        <v>7</v>
      </c>
      <c r="H3" s="13" t="s">
        <v>80</v>
      </c>
      <c r="I3" s="14" t="s">
        <v>77</v>
      </c>
      <c r="J3" s="19" t="s">
        <v>77</v>
      </c>
    </row>
    <row r="4" spans="1:10" ht="24.75" customHeight="1" x14ac:dyDescent="0.35">
      <c r="A4" s="3" t="s">
        <v>47</v>
      </c>
      <c r="B4" s="6" t="s">
        <v>48</v>
      </c>
      <c r="C4" s="8" t="str">
        <f>LOWER(LEFT(Table3[[#This Row],[FirstName]],1) &amp;"." &amp;Table3[[#This Row],[LastName]])</f>
        <v>a.goroshkov</v>
      </c>
      <c r="D4" s="20" t="s">
        <v>89</v>
      </c>
      <c r="E4" s="8" t="s">
        <v>5</v>
      </c>
      <c r="F4" s="8" t="s">
        <v>6</v>
      </c>
      <c r="G4" s="8" t="s">
        <v>7</v>
      </c>
      <c r="H4" s="13" t="s">
        <v>80</v>
      </c>
      <c r="I4" s="14" t="s">
        <v>77</v>
      </c>
      <c r="J4" s="19" t="s">
        <v>77</v>
      </c>
    </row>
    <row r="5" spans="1:10" ht="24.75" customHeight="1" x14ac:dyDescent="0.35">
      <c r="A5" s="2" t="s">
        <v>30</v>
      </c>
      <c r="B5" s="5" t="s">
        <v>31</v>
      </c>
      <c r="C5" s="8" t="str">
        <f>LOWER(LEFT(Table3[[#This Row],[FirstName]],1) &amp;"." &amp;Table3[[#This Row],[LastName]])</f>
        <v>a.glotov</v>
      </c>
      <c r="D5" s="20" t="s">
        <v>90</v>
      </c>
      <c r="E5" s="8" t="s">
        <v>5</v>
      </c>
      <c r="F5" s="8" t="s">
        <v>6</v>
      </c>
      <c r="G5" s="8" t="s">
        <v>7</v>
      </c>
      <c r="H5" s="13" t="s">
        <v>80</v>
      </c>
      <c r="I5" s="14" t="s">
        <v>77</v>
      </c>
      <c r="J5" s="19" t="s">
        <v>77</v>
      </c>
    </row>
    <row r="6" spans="1:10" ht="24.75" customHeight="1" x14ac:dyDescent="0.35">
      <c r="A6" s="2" t="s">
        <v>3</v>
      </c>
      <c r="B6" s="5" t="s">
        <v>4</v>
      </c>
      <c r="C6" s="8" t="str">
        <f>LOWER(LEFT(Table3[[#This Row],[FirstName]],1) &amp;"." &amp;Table3[[#This Row],[LastName]])</f>
        <v>a.bilyzna</v>
      </c>
      <c r="D6" s="20" t="s">
        <v>91</v>
      </c>
      <c r="E6" s="8" t="s">
        <v>5</v>
      </c>
      <c r="F6" s="8" t="s">
        <v>6</v>
      </c>
      <c r="G6" s="8" t="s">
        <v>7</v>
      </c>
      <c r="H6" s="13" t="s">
        <v>80</v>
      </c>
      <c r="I6" s="14" t="s">
        <v>77</v>
      </c>
      <c r="J6" s="19" t="s">
        <v>77</v>
      </c>
    </row>
    <row r="7" spans="1:10" ht="24.75" customHeight="1" x14ac:dyDescent="0.35">
      <c r="A7" s="2" t="s">
        <v>3</v>
      </c>
      <c r="B7" s="5" t="s">
        <v>44</v>
      </c>
      <c r="C7" s="8" t="str">
        <f>LOWER(LEFT(Table3[[#This Row],[FirstName]],1) &amp;"." &amp;Table3[[#This Row],[LastName]])</f>
        <v>a.mytiuk</v>
      </c>
      <c r="D7" s="20" t="s">
        <v>92</v>
      </c>
      <c r="E7" s="8" t="s">
        <v>5</v>
      </c>
      <c r="F7" s="8" t="s">
        <v>6</v>
      </c>
      <c r="G7" s="8" t="s">
        <v>7</v>
      </c>
      <c r="H7" s="13" t="s">
        <v>80</v>
      </c>
      <c r="I7" s="14" t="s">
        <v>77</v>
      </c>
      <c r="J7" s="19" t="s">
        <v>77</v>
      </c>
    </row>
    <row r="8" spans="1:10" ht="24.75" customHeight="1" x14ac:dyDescent="0.35">
      <c r="A8" s="2" t="s">
        <v>40</v>
      </c>
      <c r="B8" s="5" t="s">
        <v>41</v>
      </c>
      <c r="C8" s="8" t="str">
        <f>LOWER(LEFT(Table3[[#This Row],[FirstName]],1) &amp;"." &amp;Table3[[#This Row],[LastName]])</f>
        <v>a.ksenofontov</v>
      </c>
      <c r="D8" s="20" t="s">
        <v>93</v>
      </c>
      <c r="E8" s="8" t="s">
        <v>5</v>
      </c>
      <c r="F8" s="8" t="s">
        <v>6</v>
      </c>
      <c r="G8" s="8" t="s">
        <v>7</v>
      </c>
      <c r="H8" s="13" t="s">
        <v>80</v>
      </c>
      <c r="I8" s="14" t="s">
        <v>77</v>
      </c>
      <c r="J8" s="19" t="s">
        <v>77</v>
      </c>
    </row>
    <row r="9" spans="1:10" ht="24.75" customHeight="1" x14ac:dyDescent="0.35">
      <c r="A9" s="2" t="s">
        <v>70</v>
      </c>
      <c r="B9" s="5" t="s">
        <v>71</v>
      </c>
      <c r="C9" s="8" t="str">
        <f>LOWER(LEFT(Table3[[#This Row],[FirstName]],1) &amp;"." &amp;Table3[[#This Row],[LastName]])</f>
        <v>a.bezbabnov</v>
      </c>
      <c r="D9" s="20" t="s">
        <v>94</v>
      </c>
      <c r="E9" s="8" t="s">
        <v>5</v>
      </c>
      <c r="F9" s="8" t="s">
        <v>6</v>
      </c>
      <c r="G9" s="8" t="s">
        <v>7</v>
      </c>
      <c r="H9" s="13" t="s">
        <v>80</v>
      </c>
      <c r="I9" s="14" t="s">
        <v>77</v>
      </c>
      <c r="J9" s="19" t="s">
        <v>77</v>
      </c>
    </row>
    <row r="10" spans="1:10" ht="24.75" customHeight="1" x14ac:dyDescent="0.35">
      <c r="A10" s="2" t="s">
        <v>16</v>
      </c>
      <c r="B10" s="5" t="s">
        <v>17</v>
      </c>
      <c r="C10" s="8" t="str">
        <f>LOWER(LEFT(Table3[[#This Row],[FirstName]],1) &amp;"." &amp;Table3[[#This Row],[LastName]])</f>
        <v>a.gylevskiy</v>
      </c>
      <c r="D10" s="20" t="s">
        <v>95</v>
      </c>
      <c r="E10" s="8" t="s">
        <v>5</v>
      </c>
      <c r="F10" s="8" t="s">
        <v>6</v>
      </c>
      <c r="G10" s="8" t="s">
        <v>7</v>
      </c>
      <c r="H10" s="13" t="s">
        <v>80</v>
      </c>
      <c r="I10" s="14" t="s">
        <v>77</v>
      </c>
      <c r="J10" s="19" t="s">
        <v>77</v>
      </c>
    </row>
    <row r="11" spans="1:10" ht="24.75" customHeight="1" x14ac:dyDescent="0.35">
      <c r="A11" s="2" t="s">
        <v>20</v>
      </c>
      <c r="B11" s="5" t="s">
        <v>21</v>
      </c>
      <c r="C11" s="8" t="str">
        <f>LOWER(LEFT(Table3[[#This Row],[FirstName]],1) &amp;"." &amp;Table3[[#This Row],[LastName]])</f>
        <v>b.blindaruk</v>
      </c>
      <c r="D11" s="20" t="s">
        <v>96</v>
      </c>
      <c r="E11" s="8" t="s">
        <v>5</v>
      </c>
      <c r="F11" s="8" t="s">
        <v>6</v>
      </c>
      <c r="G11" s="8" t="s">
        <v>7</v>
      </c>
      <c r="H11" s="13" t="s">
        <v>80</v>
      </c>
      <c r="I11" s="14" t="s">
        <v>77</v>
      </c>
      <c r="J11" s="19" t="s">
        <v>77</v>
      </c>
    </row>
    <row r="12" spans="1:10" ht="24.75" customHeight="1" x14ac:dyDescent="0.35">
      <c r="A12" s="2" t="s">
        <v>28</v>
      </c>
      <c r="B12" s="5" t="s">
        <v>29</v>
      </c>
      <c r="C12" s="8" t="str">
        <f>LOWER(LEFT(Table3[[#This Row],[FirstName]],1) &amp;"." &amp;Table3[[#This Row],[LastName]])</f>
        <v>i.polotebnov</v>
      </c>
      <c r="D12" s="20" t="s">
        <v>97</v>
      </c>
      <c r="E12" s="8" t="s">
        <v>5</v>
      </c>
      <c r="F12" s="8" t="s">
        <v>6</v>
      </c>
      <c r="G12" s="8" t="s">
        <v>7</v>
      </c>
      <c r="H12" s="13" t="s">
        <v>80</v>
      </c>
      <c r="I12" s="14" t="s">
        <v>77</v>
      </c>
      <c r="J12" s="19" t="s">
        <v>77</v>
      </c>
    </row>
    <row r="13" spans="1:10" ht="24.75" customHeight="1" x14ac:dyDescent="0.35">
      <c r="A13" s="2" t="s">
        <v>38</v>
      </c>
      <c r="B13" s="5" t="s">
        <v>39</v>
      </c>
      <c r="C13" s="8" t="str">
        <f>LOWER(LEFT(Table3[[#This Row],[FirstName]],1) &amp;"." &amp;Table3[[#This Row],[LastName]])</f>
        <v>i.hodyna</v>
      </c>
      <c r="D13" s="20" t="s">
        <v>98</v>
      </c>
      <c r="E13" s="8" t="s">
        <v>5</v>
      </c>
      <c r="F13" s="8" t="s">
        <v>6</v>
      </c>
      <c r="G13" s="8" t="s">
        <v>7</v>
      </c>
      <c r="H13" s="13" t="s">
        <v>80</v>
      </c>
      <c r="I13" s="14" t="s">
        <v>77</v>
      </c>
      <c r="J13" s="19" t="s">
        <v>77</v>
      </c>
    </row>
    <row r="14" spans="1:10" ht="24.75" customHeight="1" x14ac:dyDescent="0.35">
      <c r="A14" s="2" t="s">
        <v>38</v>
      </c>
      <c r="B14" s="5" t="s">
        <v>74</v>
      </c>
      <c r="C14" s="8" t="str">
        <f>LOWER(LEFT(Table3[[#This Row],[FirstName]],1) &amp;"." &amp;Table3[[#This Row],[LastName]])</f>
        <v>i.obukhovskyi</v>
      </c>
      <c r="D14" s="20" t="s">
        <v>99</v>
      </c>
      <c r="E14" s="8" t="s">
        <v>5</v>
      </c>
      <c r="F14" s="8" t="s">
        <v>6</v>
      </c>
      <c r="G14" s="8" t="s">
        <v>7</v>
      </c>
      <c r="H14" s="13" t="s">
        <v>80</v>
      </c>
      <c r="I14" s="14" t="s">
        <v>77</v>
      </c>
      <c r="J14" s="19" t="s">
        <v>77</v>
      </c>
    </row>
    <row r="15" spans="1:10" ht="24.75" customHeight="1" x14ac:dyDescent="0.35">
      <c r="A15" s="3" t="s">
        <v>42</v>
      </c>
      <c r="B15" s="6" t="s">
        <v>53</v>
      </c>
      <c r="C15" s="8" t="str">
        <f>LOWER(LEFT(Table3[[#This Row],[FirstName]],1) &amp;"." &amp;Table3[[#This Row],[LastName]])</f>
        <v>i.dagli</v>
      </c>
      <c r="D15" s="20" t="s">
        <v>100</v>
      </c>
      <c r="E15" s="8" t="s">
        <v>5</v>
      </c>
      <c r="F15" s="8" t="s">
        <v>6</v>
      </c>
      <c r="G15" s="8" t="s">
        <v>7</v>
      </c>
      <c r="H15" s="13" t="s">
        <v>80</v>
      </c>
      <c r="I15" s="14" t="s">
        <v>77</v>
      </c>
      <c r="J15" s="19" t="s">
        <v>77</v>
      </c>
    </row>
    <row r="16" spans="1:10" ht="24.75" customHeight="1" x14ac:dyDescent="0.35">
      <c r="A16" s="2" t="s">
        <v>42</v>
      </c>
      <c r="B16" s="5" t="s">
        <v>43</v>
      </c>
      <c r="C16" s="8" t="str">
        <f>LOWER(LEFT(Table3[[#This Row],[FirstName]],1) &amp;"." &amp;Table3[[#This Row],[LastName]])</f>
        <v>i.menshykova</v>
      </c>
      <c r="D16" s="20" t="s">
        <v>101</v>
      </c>
      <c r="E16" s="8" t="s">
        <v>5</v>
      </c>
      <c r="F16" s="8" t="s">
        <v>6</v>
      </c>
      <c r="G16" s="8" t="s">
        <v>7</v>
      </c>
      <c r="H16" s="13" t="s">
        <v>80</v>
      </c>
      <c r="I16" s="14" t="s">
        <v>77</v>
      </c>
      <c r="J16" s="19" t="s">
        <v>77</v>
      </c>
    </row>
    <row r="17" spans="1:10" ht="24.75" customHeight="1" x14ac:dyDescent="0.35">
      <c r="A17" s="2" t="s">
        <v>64</v>
      </c>
      <c r="B17" s="5" t="s">
        <v>65</v>
      </c>
      <c r="C17" s="8" t="str">
        <f>LOWER(LEFT(Table3[[#This Row],[FirstName]],1) &amp;"." &amp;Table3[[#This Row],[LastName]])</f>
        <v>k.epishina</v>
      </c>
      <c r="D17" s="20" t="s">
        <v>102</v>
      </c>
      <c r="E17" s="8" t="s">
        <v>5</v>
      </c>
      <c r="F17" s="8" t="s">
        <v>6</v>
      </c>
      <c r="G17" s="8" t="s">
        <v>7</v>
      </c>
      <c r="H17" s="13" t="s">
        <v>80</v>
      </c>
      <c r="I17" s="14" t="s">
        <v>77</v>
      </c>
      <c r="J17" s="19" t="s">
        <v>77</v>
      </c>
    </row>
    <row r="18" spans="1:10" ht="24.75" customHeight="1" x14ac:dyDescent="0.35">
      <c r="A18" s="2" t="s">
        <v>14</v>
      </c>
      <c r="B18" s="5" t="s">
        <v>15</v>
      </c>
      <c r="C18" s="8" t="str">
        <f>LOWER(LEFT(Table3[[#This Row],[FirstName]],1) &amp;"." &amp;Table3[[#This Row],[LastName]])</f>
        <v>k.kurman</v>
      </c>
      <c r="D18" s="20" t="s">
        <v>103</v>
      </c>
      <c r="E18" s="8" t="s">
        <v>5</v>
      </c>
      <c r="F18" s="8" t="s">
        <v>6</v>
      </c>
      <c r="G18" s="8" t="s">
        <v>7</v>
      </c>
      <c r="H18" s="13" t="s">
        <v>80</v>
      </c>
      <c r="I18" s="14" t="s">
        <v>77</v>
      </c>
      <c r="J18" s="19" t="s">
        <v>77</v>
      </c>
    </row>
    <row r="19" spans="1:10" ht="24.75" customHeight="1" x14ac:dyDescent="0.35">
      <c r="A19" s="2" t="s">
        <v>58</v>
      </c>
      <c r="B19" s="5" t="s">
        <v>59</v>
      </c>
      <c r="C19" s="8" t="str">
        <f>LOWER(LEFT(Table3[[#This Row],[FirstName]],1) &amp;"." &amp;Table3[[#This Row],[LastName]])</f>
        <v>l.vinnik</v>
      </c>
      <c r="D19" s="20" t="s">
        <v>104</v>
      </c>
      <c r="E19" s="8" t="s">
        <v>5</v>
      </c>
      <c r="F19" s="8" t="s">
        <v>6</v>
      </c>
      <c r="G19" s="8" t="s">
        <v>7</v>
      </c>
      <c r="H19" s="13" t="s">
        <v>80</v>
      </c>
      <c r="I19" s="14" t="s">
        <v>77</v>
      </c>
      <c r="J19" s="19" t="s">
        <v>77</v>
      </c>
    </row>
    <row r="20" spans="1:10" ht="24.75" customHeight="1" x14ac:dyDescent="0.35">
      <c r="A20" s="2" t="s">
        <v>36</v>
      </c>
      <c r="B20" s="5" t="s">
        <v>37</v>
      </c>
      <c r="C20" s="8" t="str">
        <f>LOWER(LEFT(Table3[[#This Row],[FirstName]],1) &amp;"." &amp;Table3[[#This Row],[LastName]])</f>
        <v>m.zhukovska</v>
      </c>
      <c r="D20" s="20" t="s">
        <v>105</v>
      </c>
      <c r="E20" s="8" t="s">
        <v>5</v>
      </c>
      <c r="F20" s="8" t="s">
        <v>6</v>
      </c>
      <c r="G20" s="8" t="s">
        <v>7</v>
      </c>
      <c r="H20" s="13" t="s">
        <v>80</v>
      </c>
      <c r="I20" s="14" t="s">
        <v>77</v>
      </c>
      <c r="J20" s="19" t="s">
        <v>77</v>
      </c>
    </row>
    <row r="21" spans="1:10" ht="24.75" customHeight="1" x14ac:dyDescent="0.35">
      <c r="A21" s="2" t="s">
        <v>10</v>
      </c>
      <c r="B21" s="5" t="s">
        <v>11</v>
      </c>
      <c r="C21" s="8" t="str">
        <f>LOWER(LEFT(Table3[[#This Row],[FirstName]],1) &amp;"." &amp;Table3[[#This Row],[LastName]])</f>
        <v>m.matiushenko</v>
      </c>
      <c r="D21" s="20" t="s">
        <v>106</v>
      </c>
      <c r="E21" s="8" t="s">
        <v>5</v>
      </c>
      <c r="F21" s="8" t="s">
        <v>6</v>
      </c>
      <c r="G21" s="8" t="s">
        <v>7</v>
      </c>
      <c r="H21" s="13" t="s">
        <v>80</v>
      </c>
      <c r="I21" s="14" t="s">
        <v>77</v>
      </c>
      <c r="J21" s="19" t="s">
        <v>77</v>
      </c>
    </row>
    <row r="22" spans="1:10" ht="24.75" customHeight="1" x14ac:dyDescent="0.35">
      <c r="A22" s="2" t="s">
        <v>60</v>
      </c>
      <c r="B22" s="5" t="s">
        <v>61</v>
      </c>
      <c r="C22" s="8" t="str">
        <f>LOWER(LEFT(Table3[[#This Row],[FirstName]],1) &amp;"." &amp;Table3[[#This Row],[LastName]])</f>
        <v>n.zhuravel</v>
      </c>
      <c r="D22" s="20" t="s">
        <v>107</v>
      </c>
      <c r="E22" s="8" t="s">
        <v>5</v>
      </c>
      <c r="F22" s="8" t="s">
        <v>6</v>
      </c>
      <c r="G22" s="8" t="s">
        <v>7</v>
      </c>
      <c r="H22" s="13" t="s">
        <v>80</v>
      </c>
      <c r="I22" s="14" t="s">
        <v>77</v>
      </c>
      <c r="J22" s="19" t="s">
        <v>77</v>
      </c>
    </row>
    <row r="23" spans="1:10" ht="24.75" customHeight="1" x14ac:dyDescent="0.35">
      <c r="A23" s="2" t="s">
        <v>22</v>
      </c>
      <c r="B23" s="5" t="s">
        <v>23</v>
      </c>
      <c r="C23" s="8" t="str">
        <f>LOWER(LEFT(Table3[[#This Row],[FirstName]],1) &amp;"." &amp;Table3[[#This Row],[LastName]])</f>
        <v>o.kovalenko</v>
      </c>
      <c r="D23" s="20" t="s">
        <v>108</v>
      </c>
      <c r="E23" s="8" t="s">
        <v>5</v>
      </c>
      <c r="F23" s="8" t="s">
        <v>6</v>
      </c>
      <c r="G23" s="8" t="s">
        <v>7</v>
      </c>
      <c r="H23" s="13" t="s">
        <v>80</v>
      </c>
      <c r="I23" s="14" t="s">
        <v>77</v>
      </c>
      <c r="J23" s="19" t="s">
        <v>77</v>
      </c>
    </row>
    <row r="24" spans="1:10" ht="24.75" customHeight="1" x14ac:dyDescent="0.35">
      <c r="A24" s="3" t="s">
        <v>72</v>
      </c>
      <c r="B24" s="6" t="s">
        <v>73</v>
      </c>
      <c r="C24" s="8" t="str">
        <f>LOWER(LEFT(Table3[[#This Row],[FirstName]],1) &amp;"." &amp;Table3[[#This Row],[LastName]])</f>
        <v>o.osokina</v>
      </c>
      <c r="D24" s="20" t="s">
        <v>109</v>
      </c>
      <c r="E24" s="8" t="s">
        <v>5</v>
      </c>
      <c r="F24" s="8" t="s">
        <v>6</v>
      </c>
      <c r="G24" s="8" t="s">
        <v>7</v>
      </c>
      <c r="H24" s="13" t="s">
        <v>80</v>
      </c>
      <c r="I24" s="14" t="s">
        <v>77</v>
      </c>
      <c r="J24" s="19" t="s">
        <v>77</v>
      </c>
    </row>
    <row r="25" spans="1:10" ht="24.75" customHeight="1" x14ac:dyDescent="0.35">
      <c r="A25" s="2" t="s">
        <v>9</v>
      </c>
      <c r="B25" s="5" t="s">
        <v>8</v>
      </c>
      <c r="C25" s="8" t="str">
        <f>LOWER(LEFT(Table3[[#This Row],[FirstName]],1) &amp;"." &amp;Table3[[#This Row],[LastName]])</f>
        <v>o.palii</v>
      </c>
      <c r="D25" s="20" t="s">
        <v>110</v>
      </c>
      <c r="E25" s="8" t="s">
        <v>5</v>
      </c>
      <c r="F25" s="8" t="s">
        <v>6</v>
      </c>
      <c r="G25" s="8" t="s">
        <v>7</v>
      </c>
      <c r="H25" s="13" t="s">
        <v>80</v>
      </c>
      <c r="I25" s="14" t="s">
        <v>77</v>
      </c>
      <c r="J25" s="19" t="s">
        <v>77</v>
      </c>
    </row>
    <row r="26" spans="1:10" ht="24.75" customHeight="1" x14ac:dyDescent="0.35">
      <c r="A26" s="2" t="s">
        <v>26</v>
      </c>
      <c r="B26" s="5" t="s">
        <v>27</v>
      </c>
      <c r="C26" s="8" t="str">
        <f>LOWER(LEFT(Table3[[#This Row],[FirstName]],1) &amp;"." &amp;Table3[[#This Row],[LastName]])</f>
        <v>s.rezunenko</v>
      </c>
      <c r="D26" s="20" t="s">
        <v>111</v>
      </c>
      <c r="E26" s="8" t="s">
        <v>5</v>
      </c>
      <c r="F26" s="8" t="s">
        <v>6</v>
      </c>
      <c r="G26" s="8" t="s">
        <v>7</v>
      </c>
      <c r="H26" s="13" t="s">
        <v>80</v>
      </c>
      <c r="I26" s="14" t="s">
        <v>77</v>
      </c>
      <c r="J26" s="19" t="s">
        <v>77</v>
      </c>
    </row>
    <row r="27" spans="1:10" ht="24.75" customHeight="1" x14ac:dyDescent="0.35">
      <c r="A27" s="2" t="s">
        <v>24</v>
      </c>
      <c r="B27" s="5" t="s">
        <v>75</v>
      </c>
      <c r="C27" s="8" t="str">
        <f>LOWER(LEFT(Table3[[#This Row],[FirstName]],1) &amp;"." &amp;Table3[[#This Row],[LastName]])</f>
        <v>t.kim</v>
      </c>
      <c r="D27" s="20" t="s">
        <v>112</v>
      </c>
      <c r="E27" s="8" t="s">
        <v>5</v>
      </c>
      <c r="F27" s="8" t="s">
        <v>6</v>
      </c>
      <c r="G27" s="8" t="s">
        <v>7</v>
      </c>
      <c r="H27" s="13" t="s">
        <v>80</v>
      </c>
      <c r="I27" s="14" t="s">
        <v>77</v>
      </c>
      <c r="J27" s="19" t="s">
        <v>77</v>
      </c>
    </row>
    <row r="28" spans="1:10" ht="24.75" customHeight="1" x14ac:dyDescent="0.35">
      <c r="A28" s="2" t="s">
        <v>24</v>
      </c>
      <c r="B28" s="5" t="s">
        <v>25</v>
      </c>
      <c r="C28" s="8" t="str">
        <f>LOWER(LEFT(Table3[[#This Row],[FirstName]],1) &amp;"." &amp;Table3[[#This Row],[LastName]])</f>
        <v>t.shevchenko</v>
      </c>
      <c r="D28" s="20" t="s">
        <v>113</v>
      </c>
      <c r="E28" s="8" t="s">
        <v>5</v>
      </c>
      <c r="F28" s="8" t="s">
        <v>6</v>
      </c>
      <c r="G28" s="8" t="s">
        <v>7</v>
      </c>
      <c r="H28" s="13" t="s">
        <v>80</v>
      </c>
      <c r="I28" s="14" t="s">
        <v>77</v>
      </c>
      <c r="J28" s="19" t="s">
        <v>77</v>
      </c>
    </row>
    <row r="29" spans="1:10" ht="24.75" customHeight="1" x14ac:dyDescent="0.35">
      <c r="A29" s="2" t="s">
        <v>18</v>
      </c>
      <c r="B29" s="5" t="s">
        <v>19</v>
      </c>
      <c r="C29" s="8" t="str">
        <f>LOWER(LEFT(Table3[[#This Row],[FirstName]],1) &amp;"." &amp;Table3[[#This Row],[LastName]])</f>
        <v>v.brychnik</v>
      </c>
      <c r="D29" s="20" t="s">
        <v>114</v>
      </c>
      <c r="E29" s="8" t="s">
        <v>5</v>
      </c>
      <c r="F29" s="8" t="s">
        <v>6</v>
      </c>
      <c r="G29" s="8" t="s">
        <v>7</v>
      </c>
      <c r="H29" s="13" t="s">
        <v>80</v>
      </c>
      <c r="I29" s="14" t="s">
        <v>77</v>
      </c>
      <c r="J29" s="19" t="s">
        <v>77</v>
      </c>
    </row>
    <row r="30" spans="1:10" ht="24.75" customHeight="1" x14ac:dyDescent="0.35">
      <c r="A30" s="2" t="s">
        <v>68</v>
      </c>
      <c r="B30" s="5" t="s">
        <v>69</v>
      </c>
      <c r="C30" s="8" t="str">
        <f>LOWER(LEFT(Table3[[#This Row],[FirstName]],1) &amp;"." &amp;Table3[[#This Row],[LastName]])</f>
        <v>v.parkhomenko</v>
      </c>
      <c r="D30" s="20" t="s">
        <v>115</v>
      </c>
      <c r="E30" s="8" t="s">
        <v>5</v>
      </c>
      <c r="F30" s="8" t="s">
        <v>6</v>
      </c>
      <c r="G30" s="8" t="s">
        <v>7</v>
      </c>
      <c r="H30" s="13" t="s">
        <v>80</v>
      </c>
      <c r="I30" s="14" t="s">
        <v>77</v>
      </c>
      <c r="J30" s="19" t="s">
        <v>77</v>
      </c>
    </row>
    <row r="31" spans="1:10" ht="24.75" customHeight="1" x14ac:dyDescent="0.35">
      <c r="A31" s="2" t="s">
        <v>34</v>
      </c>
      <c r="B31" s="5" t="s">
        <v>35</v>
      </c>
      <c r="C31" s="8" t="str">
        <f>LOWER(LEFT(Table3[[#This Row],[FirstName]],1) &amp;"." &amp;Table3[[#This Row],[LastName]])</f>
        <v>v.bondar</v>
      </c>
      <c r="D31" s="20" t="s">
        <v>116</v>
      </c>
      <c r="E31" s="8" t="s">
        <v>5</v>
      </c>
      <c r="F31" s="8" t="s">
        <v>6</v>
      </c>
      <c r="G31" s="8" t="s">
        <v>7</v>
      </c>
      <c r="H31" s="13" t="s">
        <v>80</v>
      </c>
      <c r="I31" s="14" t="s">
        <v>77</v>
      </c>
      <c r="J31" s="19" t="s">
        <v>77</v>
      </c>
    </row>
    <row r="32" spans="1:10" ht="24.75" customHeight="1" x14ac:dyDescent="0.35">
      <c r="A32" s="2" t="s">
        <v>62</v>
      </c>
      <c r="B32" s="5" t="s">
        <v>63</v>
      </c>
      <c r="C32" s="8" t="str">
        <f>LOWER(LEFT(Table3[[#This Row],[FirstName]],1) &amp;"." &amp;Table3[[#This Row],[LastName]])</f>
        <v>v.kondratenko</v>
      </c>
      <c r="D32" s="20" t="s">
        <v>117</v>
      </c>
      <c r="E32" s="8" t="s">
        <v>5</v>
      </c>
      <c r="F32" s="8" t="s">
        <v>6</v>
      </c>
      <c r="G32" s="8" t="s">
        <v>7</v>
      </c>
      <c r="H32" s="13" t="s">
        <v>80</v>
      </c>
      <c r="I32" s="14" t="s">
        <v>77</v>
      </c>
      <c r="J32" s="19" t="s">
        <v>77</v>
      </c>
    </row>
    <row r="33" spans="1:10" ht="24.75" customHeight="1" x14ac:dyDescent="0.35">
      <c r="A33" s="2" t="s">
        <v>45</v>
      </c>
      <c r="B33" s="5" t="s">
        <v>46</v>
      </c>
      <c r="C33" s="8" t="str">
        <f>LOWER(LEFT(Table3[[#This Row],[FirstName]],1) &amp;"." &amp;Table3[[#This Row],[LastName]])</f>
        <v>v.tretiak</v>
      </c>
      <c r="D33" s="20" t="s">
        <v>118</v>
      </c>
      <c r="E33" s="8" t="s">
        <v>5</v>
      </c>
      <c r="F33" s="8" t="s">
        <v>6</v>
      </c>
      <c r="G33" s="8" t="s">
        <v>7</v>
      </c>
      <c r="H33" s="13" t="s">
        <v>80</v>
      </c>
      <c r="I33" s="14" t="s">
        <v>77</v>
      </c>
      <c r="J33" s="19" t="s">
        <v>77</v>
      </c>
    </row>
    <row r="34" spans="1:10" ht="24.75" customHeight="1" x14ac:dyDescent="0.35">
      <c r="A34" s="2" t="s">
        <v>12</v>
      </c>
      <c r="B34" s="5" t="s">
        <v>13</v>
      </c>
      <c r="C34" s="8" t="str">
        <f>LOWER(LEFT(Table3[[#This Row],[FirstName]],1) &amp;"." &amp;Table3[[#This Row],[LastName]])</f>
        <v>y.nazarenko</v>
      </c>
      <c r="D34" s="20" t="s">
        <v>119</v>
      </c>
      <c r="E34" s="8" t="s">
        <v>5</v>
      </c>
      <c r="F34" s="8" t="s">
        <v>6</v>
      </c>
      <c r="G34" s="8" t="s">
        <v>7</v>
      </c>
      <c r="H34" s="13" t="s">
        <v>80</v>
      </c>
      <c r="I34" s="14" t="s">
        <v>77</v>
      </c>
      <c r="J34" s="19" t="s">
        <v>77</v>
      </c>
    </row>
    <row r="35" spans="1:10" ht="24.75" customHeight="1" x14ac:dyDescent="0.35">
      <c r="A35" s="3" t="s">
        <v>55</v>
      </c>
      <c r="B35" s="6" t="s">
        <v>54</v>
      </c>
      <c r="C35" s="8" t="str">
        <f>LOWER(LEFT(Table3[[#This Row],[FirstName]],1) &amp;"." &amp;Table3[[#This Row],[LastName]])</f>
        <v>l.yasiunas</v>
      </c>
      <c r="D35" s="20" t="s">
        <v>120</v>
      </c>
      <c r="E35" s="8" t="s">
        <v>5</v>
      </c>
      <c r="F35" s="8" t="s">
        <v>6</v>
      </c>
      <c r="G35" s="8" t="s">
        <v>7</v>
      </c>
      <c r="H35" s="13" t="s">
        <v>80</v>
      </c>
      <c r="I35" s="14" t="s">
        <v>77</v>
      </c>
      <c r="J35" s="19" t="s">
        <v>77</v>
      </c>
    </row>
    <row r="36" spans="1:10" ht="24.75" customHeight="1" x14ac:dyDescent="0.35">
      <c r="A36" s="3" t="s">
        <v>51</v>
      </c>
      <c r="B36" s="6" t="s">
        <v>52</v>
      </c>
      <c r="C36" s="8" t="str">
        <f>LOWER(LEFT(Table3[[#This Row],[FirstName]],1) &amp;"." &amp;Table3[[#This Row],[LastName]])</f>
        <v>y.borovok</v>
      </c>
      <c r="D36" s="20" t="s">
        <v>121</v>
      </c>
      <c r="E36" s="8" t="s">
        <v>5</v>
      </c>
      <c r="F36" s="8" t="s">
        <v>6</v>
      </c>
      <c r="G36" s="8" t="s">
        <v>7</v>
      </c>
      <c r="H36" s="13" t="s">
        <v>80</v>
      </c>
      <c r="I36" s="14" t="s">
        <v>77</v>
      </c>
      <c r="J36" s="19" t="s">
        <v>77</v>
      </c>
    </row>
    <row r="37" spans="1:10" ht="24.75" customHeight="1" x14ac:dyDescent="0.35">
      <c r="A37" s="2" t="s">
        <v>32</v>
      </c>
      <c r="B37" s="5" t="s">
        <v>33</v>
      </c>
      <c r="C37" s="8" t="str">
        <f>LOWER(LEFT(Table3[[#This Row],[FirstName]],1) &amp;"." &amp;Table3[[#This Row],[LastName]])</f>
        <v>y.soloviova</v>
      </c>
      <c r="D37" s="20" t="s">
        <v>122</v>
      </c>
      <c r="E37" s="8" t="s">
        <v>5</v>
      </c>
      <c r="F37" s="8" t="s">
        <v>6</v>
      </c>
      <c r="G37" s="8" t="s">
        <v>7</v>
      </c>
      <c r="H37" s="13" t="s">
        <v>81</v>
      </c>
      <c r="I37" s="14" t="s">
        <v>77</v>
      </c>
      <c r="J37" s="19" t="s">
        <v>77</v>
      </c>
    </row>
    <row r="38" spans="1:10" ht="24.75" customHeight="1" x14ac:dyDescent="0.35">
      <c r="A38" s="2" t="s">
        <v>66</v>
      </c>
      <c r="B38" s="5" t="s">
        <v>67</v>
      </c>
      <c r="C38" s="8" t="str">
        <f>LOWER(LEFT(Table3[[#This Row],[FirstName]],1) &amp;"." &amp;Table3[[#This Row],[LastName]])</f>
        <v>y.sokol</v>
      </c>
      <c r="D38" s="20" t="s">
        <v>123</v>
      </c>
      <c r="E38" s="8" t="s">
        <v>5</v>
      </c>
      <c r="F38" s="8" t="s">
        <v>6</v>
      </c>
      <c r="G38" s="8" t="s">
        <v>7</v>
      </c>
      <c r="H38" s="13" t="s">
        <v>81</v>
      </c>
      <c r="I38" s="14" t="s">
        <v>77</v>
      </c>
      <c r="J38" s="19" t="s">
        <v>77</v>
      </c>
    </row>
  </sheetData>
  <conditionalFormatting sqref="A2:D40 J2:U40 F2:H40">
    <cfRule type="expression" dxfId="19" priority="8">
      <formula>ROW(A2)=CELL("row")</formula>
    </cfRule>
  </conditionalFormatting>
  <conditionalFormatting sqref="I2:I40">
    <cfRule type="expression" dxfId="18" priority="4">
      <formula>ROW(I2)=CELL("row")</formula>
    </cfRule>
  </conditionalFormatting>
  <conditionalFormatting sqref="E2:E40">
    <cfRule type="expression" dxfId="17" priority="1">
      <formula>ROW(E2)=CELL("row")</formula>
    </cfRule>
  </conditionalFormatting>
  <pageMargins left="0.7" right="0.7" top="0.75" bottom="0.75" header="0.3" footer="0.3"/>
  <pageSetup orientation="portrait" r:id="rId1"/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5" operator="equal" id="{55CCFEF6-40F9-493E-B3D3-0DB5B27BC76A}">
            <xm:f>Settings!$A$2</xm:f>
            <x14:dxf>
              <font>
                <color rgb="FFC00000"/>
              </font>
            </x14:dxf>
          </x14:cfRule>
          <x14:cfRule type="cellIs" priority="6" operator="equal" id="{00A63114-D232-431B-AFEB-3DFF5185EA7A}">
            <xm:f>Settings!$A$1</xm:f>
            <x14:dxf>
              <font>
                <color theme="9" tint="-0.24994659260841701"/>
              </font>
            </x14:dxf>
          </x14:cfRule>
          <xm:sqref>J2:J38</xm:sqref>
        </x14:conditionalFormatting>
        <x14:conditionalFormatting xmlns:xm="http://schemas.microsoft.com/office/excel/2006/main">
          <x14:cfRule type="cellIs" priority="2" operator="equal" id="{B79A26EA-A916-4098-9E88-F05F9EC7EA47}">
            <xm:f>Settings!$A$2</xm:f>
            <x14:dxf>
              <font>
                <color rgb="FFC00000"/>
              </font>
            </x14:dxf>
          </x14:cfRule>
          <x14:cfRule type="cellIs" priority="3" operator="equal" id="{FC37924D-544B-448E-8424-E110E79625E4}">
            <xm:f>Settings!$A$1</xm:f>
            <x14:dxf>
              <font>
                <color theme="9" tint="-0.24994659260841701"/>
              </font>
            </x14:dxf>
          </x14:cfRule>
          <xm:sqref>I2:I38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2FDAC1D8-0982-4C8D-A1F4-5206047A32D3}">
          <x14:formula1>
            <xm:f>Settings!$A$1:$A$2</xm:f>
          </x14:formula1>
          <xm:sqref>I2:J38</xm:sqref>
        </x14:dataValidation>
        <x14:dataValidation type="list" allowBlank="1" showInputMessage="1" showErrorMessage="1" xr:uid="{95BD6466-6CFB-4AC1-977D-E78B2F18E548}">
          <x14:formula1>
            <xm:f>Settings!$C$1:$C$2</xm:f>
          </x14:formula1>
          <xm:sqref>H2:H38</xm:sqref>
        </x14:dataValidation>
        <x14:dataValidation type="list" allowBlank="1" showInputMessage="1" showErrorMessage="1" xr:uid="{FFF2E957-4419-4073-A387-2A3A7D65A59D}">
          <x14:formula1>
            <xm:f>Settings!$E$1:$E$4</xm:f>
          </x14:formula1>
          <xm:sqref>M4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5EA91D-8A23-41E2-83DB-7940A61F276B}">
  <sheetPr codeName="Sheet2"/>
  <dimension ref="A1:E4"/>
  <sheetViews>
    <sheetView workbookViewId="0"/>
  </sheetViews>
  <sheetFormatPr defaultRowHeight="15" x14ac:dyDescent="0.25"/>
  <sheetData>
    <row r="1" spans="1:5" ht="27" x14ac:dyDescent="0.25">
      <c r="A1" s="9" t="str">
        <f>CHAR(252)</f>
        <v>ь</v>
      </c>
      <c r="C1" t="s">
        <v>80</v>
      </c>
      <c r="E1">
        <v>1</v>
      </c>
    </row>
    <row r="2" spans="1:5" ht="27" x14ac:dyDescent="0.25">
      <c r="A2" s="10" t="s">
        <v>76</v>
      </c>
      <c r="C2" t="s">
        <v>81</v>
      </c>
      <c r="D2" s="15"/>
      <c r="E2">
        <v>2</v>
      </c>
    </row>
    <row r="3" spans="1:5" x14ac:dyDescent="0.25">
      <c r="E3">
        <v>3</v>
      </c>
    </row>
    <row r="4" spans="1:5" x14ac:dyDescent="0.25">
      <c r="E4">
        <v>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Settings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Victor Sakhno</dc:creator>
  <cp:lastModifiedBy>Vitaliy Kobzar</cp:lastModifiedBy>
  <dcterms:created xsi:type="dcterms:W3CDTF">2021-07-26T13:03:04Z</dcterms:created>
  <dcterms:modified xsi:type="dcterms:W3CDTF">2021-07-29T08:10:36Z</dcterms:modified>
</cp:coreProperties>
</file>